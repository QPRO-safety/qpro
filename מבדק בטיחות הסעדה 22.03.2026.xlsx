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odexo-my.sharepoint.com/personal/udi_benshimol_sodexo_com/Documents/Desktop/GM 2014/IT/מערכת לניהול דוחות בטיחות/"/>
    </mc:Choice>
  </mc:AlternateContent>
  <xr:revisionPtr revIDLastSave="0" documentId="8_{3B5D72EA-0BF3-4AED-8833-18E7B6FFD48B}" xr6:coauthVersionLast="47" xr6:coauthVersionMax="47" xr10:uidLastSave="{00000000-0000-0000-0000-000000000000}"/>
  <bookViews>
    <workbookView xWindow="-110" yWindow="-110" windowWidth="19420" windowHeight="11500" xr2:uid="{0A7596D0-A8EF-433C-BCBA-2DD92019702E}"/>
  </bookViews>
  <sheets>
    <sheet name="חוברת עבודה 2026 - אודי " sheetId="1" r:id="rId1"/>
  </sheets>
  <definedNames>
    <definedName name="_xlnm._FilterDatabase" localSheetId="0" hidden="1">'חוברת עבודה 2026 - אודי '!$A$2:$E$69</definedName>
    <definedName name="_ftnref1" localSheetId="0">'חוברת עבודה 2026 - אודי '!$C$22</definedName>
    <definedName name="_xlnm.Print_Area" localSheetId="0">'חוברת עבודה 2026 - אודי '!$B$1:$D$71</definedName>
    <definedName name="_xlnm.Print_Titles" localSheetId="0">'חוברת עבודה 2026 - אודי 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" l="1"/>
  <c r="D1" i="1" s="1"/>
</calcChain>
</file>

<file path=xl/sharedStrings.xml><?xml version="1.0" encoding="utf-8"?>
<sst xmlns="http://schemas.openxmlformats.org/spreadsheetml/2006/main" count="121" uniqueCount="106">
  <si>
    <t>מספר שאלה</t>
  </si>
  <si>
    <t>נושא/שאלה</t>
  </si>
  <si>
    <t>דרישת החוק</t>
  </si>
  <si>
    <t>ציון</t>
  </si>
  <si>
    <t>בקרה חוזרת</t>
  </si>
  <si>
    <t>1. ניהול הבטיחות כללית באתר:</t>
  </si>
  <si>
    <t>האם בוצע הדרכת בטיחות על סיכונים לעובדי האתר</t>
  </si>
  <si>
    <t>תקנות ארגון הפיקוח על העבודה (מסירת מידע והדרכת עובדים), תשנ"ט-1999 (3)(א)</t>
  </si>
  <si>
    <t>האם בוצע הדרכת בטיחות לעובד חדש  ולעובדי קבלן</t>
  </si>
  <si>
    <t>תקנות ארגון הפיקוח על העבודה (מסירת מידע והדרכת עובדים), תשנ"ט-1999 (7)(א)</t>
  </si>
  <si>
    <r>
      <t xml:space="preserve">האם מתקיים דו"ח בטיחות חודשי של מנהל אתר </t>
    </r>
    <r>
      <rPr>
        <b/>
        <sz val="11"/>
        <color theme="1"/>
        <rFont val="Calibri"/>
        <family val="2"/>
      </rPr>
      <t>(טופס מס': F-W-QES-100-02)</t>
    </r>
  </si>
  <si>
    <t>הוראה פנימית</t>
  </si>
  <si>
    <t>האם קיים באתר תיק עזרה ראשונה, רשימת תכולה ומספרי טל בחרום האם בוצע תרגיל חירום?</t>
  </si>
  <si>
    <t>תקנות הבטיחות בעבודה (עזרה ראשונה במקומות עבודה), תשמ"ח-1988 (2)תוספת(תקנה 1)</t>
  </si>
  <si>
    <t>כללי - ניהול הבטיחות באתר</t>
  </si>
  <si>
    <t>2. מכונות וציוד:</t>
  </si>
  <si>
    <t>ציוד עם מיגון תקני ומתאים ,מפסקי בטיחות, תקינות כללית של הציוד</t>
  </si>
  <si>
    <t>פקודת הבטיחות בעבודה [נוסח חדש], תש"ל-1970 סימן א': מכונות בדרך כלל</t>
  </si>
  <si>
    <t>ייציבות ציוד, מתקנים מתאימים לציוד ועוד..</t>
  </si>
  <si>
    <t>התקנת לחצני חירום, מפסק עצירת חירום, מפסק פטרייה</t>
  </si>
  <si>
    <t>תקנות הבטיחות בעבודה (בטיחות וגיהות תעסוקתית בעבודה עם גורמים מסוכנים במעבדות רפואיות, כימיות וביולוגיות), התשס"א-2001". תקנה 4 (5)</t>
  </si>
  <si>
    <t xml:space="preserve">תקינות המכונה ,ידיות ,כפתורי הפעלה, קיבוע ציוד לרצפה ויציבות הציוד </t>
  </si>
  <si>
    <t>תחזוקה שוטפת ניקיון המכונה, סביבת המכונה.</t>
  </si>
  <si>
    <t xml:space="preserve">המצאות של הוראות בטיחות עבור ציוד ותהליכי עבודה, הדרכות והסמכות עובדים. </t>
  </si>
  <si>
    <t>תקנות ארגון הפיקוח על העבודה (מסירת מידע והדרכת עובדים), תשנ"ט-1999 (2)</t>
  </si>
  <si>
    <t>האם יש מגנטים לסכינים,מתקנים לסכינים של קוצץ הירקות</t>
  </si>
  <si>
    <t>תקינות והמצאות ציוד: תבניות, עגלות, ציוד קבוע ומטלטל ועוד..</t>
  </si>
  <si>
    <r>
      <t xml:space="preserve">מורשים ומודרכים להפעלת הציוד, הדרכה והסמכה </t>
    </r>
    <r>
      <rPr>
        <b/>
        <sz val="11"/>
        <color theme="1"/>
        <rFont val="Calibri"/>
        <family val="2"/>
      </rPr>
      <t>(טופס F-W-QES-100-04)</t>
    </r>
  </si>
  <si>
    <t>כללי - מכונות וציוד</t>
  </si>
  <si>
    <t>3. חשמל</t>
  </si>
  <si>
    <t>האם בוצע בדיקת תקינות ציוד חשמלי ע"י חשמלאי בעל רישיון המתאים.</t>
  </si>
  <si>
    <t>חוק החשמל תשי"ד 1954 ותקנותיו</t>
  </si>
  <si>
    <t>הימצאות הארקה בשולחנות עבודה מתכתיים קבועים, שבהם משולב ציוד חשמלי דרך קבע.</t>
  </si>
  <si>
    <t>תקנות החשמל (הארקות ואמצעי הגנה מפני חישמול במתח עד 1000 וולט), תשנ"א-1991* (34)</t>
  </si>
  <si>
    <t xml:space="preserve">בדיקת לוחות חשמל </t>
  </si>
  <si>
    <t>ת"י 61439</t>
  </si>
  <si>
    <t>בדיקת ציוד חשמלי מטלטל.</t>
  </si>
  <si>
    <t>ת"י 757 חלק 1</t>
  </si>
  <si>
    <t xml:space="preserve">חשמל מוגן מים (תאורה, מפסקים, שקעים). </t>
  </si>
  <si>
    <t>תקנות החשמל (מעגלים סופיים הניזונים במתח עד 1000 וולט), תשמ"ה-1984 סעיף (4א)</t>
  </si>
  <si>
    <t>תקינות ציוד חשמלי (כבלי חשמל, שקעים, מפצלי חשמל)</t>
  </si>
  <si>
    <t>תקנות החשמל (הארקות ואמצעי הגנה מפני חישמול במתח עד 1000 וולט), תשנ"א-1991* (75)</t>
  </si>
  <si>
    <t>כללי - חשמל</t>
  </si>
  <si>
    <t>4. בדיקות ציוד על פי דרישות החוק:</t>
  </si>
  <si>
    <t xml:space="preserve">תחזוקה וטיפול במנדפים בהתאם לדרישות </t>
  </si>
  <si>
    <t>תקן 1001 חלק 6 בטיחות אש בבניינים: בקרת אוורור והגנה מפני אש במערכות בישול מסחריות</t>
  </si>
  <si>
    <t xml:space="preserve">בדיקת מערכות גילוי וכיבוי אש במנדפים </t>
  </si>
  <si>
    <t xml:space="preserve">תקן 5356 חלק 2, מערכות כיבוי אש: כיבוי בכימיקלים רטובים </t>
  </si>
  <si>
    <t>בדיקת סירי קיטור</t>
  </si>
  <si>
    <t>פקודת הבטיחות בעבודה [נוסח חדש], תש"ל-1970 (104)(א)</t>
  </si>
  <si>
    <t>בדיקת מתקני הרמה באתר (מתקן להשריית מגשים) וכו'</t>
  </si>
  <si>
    <t>פקודת הבטיחות בעבודה [נוסח חדש], תש"ל-1970 סימן ז': מכונות הרמה (81)</t>
  </si>
  <si>
    <t>בדיקת אביזרי הרמה (מעליות משא, אשפתון) וכו'.</t>
  </si>
  <si>
    <t>פקודת הבטיחות בעבודה [נוסח חדש], תש"ל-1970 סימן ו': שרשרות, חבלים ואבזרי הרמה (75-76)</t>
  </si>
  <si>
    <t>בדיקת מתקני גז</t>
  </si>
  <si>
    <t>ת"י 158 חלק 1, מתקנים לגזים פחמימניים מעובים (גפ"מ): מאגרים</t>
  </si>
  <si>
    <t xml:space="preserve">בדיקת מטפים מטלטלים </t>
  </si>
  <si>
    <t>ת"י 129 חלק 1, מטפים מיטלטלים: תחזוקה</t>
  </si>
  <si>
    <t xml:space="preserve">בדיקת וביקורת של מדביר </t>
  </si>
  <si>
    <t>חוק הסדרת העיסוק בהדברה תברואית, תשע"ו-2016</t>
  </si>
  <si>
    <t>כללי : בדיקות ציוד על פי דרישות החוק:</t>
  </si>
  <si>
    <t>5. תשתיות:</t>
  </si>
  <si>
    <t>תקינות ושלמות אריחים ברצפה וסבכות ניקוז.</t>
  </si>
  <si>
    <t>תקן ישראלי ת"י 2279</t>
  </si>
  <si>
    <t>קיבוע מדפי אחסון במחסנים</t>
  </si>
  <si>
    <t>תקינות כללית של האתר: סדקים בקירות, קילופי צבע, דלתות ועוד..</t>
  </si>
  <si>
    <t>כללי: תשתיות</t>
  </si>
  <si>
    <t>6. מקררים ומקפאים:</t>
  </si>
  <si>
    <t>תקינות פעמוני חירום וידית לפתיחת דלת מבפנים</t>
  </si>
  <si>
    <t>תקן אירופי מס' EN 378 – 1</t>
  </si>
  <si>
    <t>תקינות רצפה,המצאות קרח</t>
  </si>
  <si>
    <t>תקן אירופי 378:2000 E</t>
  </si>
  <si>
    <t>מצב כללי של מקפיאים וחדרי קירור (קיבוע מדפים, המצאות קרח) ועוד</t>
  </si>
  <si>
    <t>כללי: מקררים ומקפאים</t>
  </si>
  <si>
    <t>7. חומרים מסוכנים - חומרי ניקוי</t>
  </si>
  <si>
    <t>מחסן סגור ומשולט</t>
  </si>
  <si>
    <t>חוק החמרים המסוכנים, תשנ"ג- 1993 (6)(א)</t>
  </si>
  <si>
    <t xml:space="preserve">סדר וניקיון, הפרדת חומרים, סגירת פקקים </t>
  </si>
  <si>
    <t>תקנות הבטיחות בעבודה (גיליון בטיחות, סיווג, אריזה, תיווי וסימון של אריזות), תשנ"ח-1998 (4)(א)(7)</t>
  </si>
  <si>
    <t>המצאות גיליונות בטיחות (MSDS) מעודכנים והתאמתם לחומרים</t>
  </si>
  <si>
    <t>תקנות הבטיחות בעבודה (גיליון בטיחות, סיווג, אריזה, תיווי וסימון של אריזות), תשנ"ח-1998 (3)(2)(ב)</t>
  </si>
  <si>
    <t>סימון החומר, מרכזי דילול, הכרת הסיכונים</t>
  </si>
  <si>
    <t>תקנות ארגון הפיקוח על העבודה (מסירת מידע והדרכת עובדים), תשנ"ט - 1999 (8)</t>
  </si>
  <si>
    <t xml:space="preserve"> כללי: חומרים מסוכנים - חומרי ניקוי</t>
  </si>
  <si>
    <t>8. בטיחות כללי</t>
  </si>
  <si>
    <t>אחסון גלילי גז דחוס</t>
  </si>
  <si>
    <t>תקן 712</t>
  </si>
  <si>
    <t>רמפה קבלת סחורה (מעקה למניעת הנפילה)</t>
  </si>
  <si>
    <t>אחסון ציוד לגובה במחסנים</t>
  </si>
  <si>
    <t>האם נמצא דרגש (סולם נמוך באתר)</t>
  </si>
  <si>
    <t xml:space="preserve"> כללי: בטיחות כללית</t>
  </si>
  <si>
    <t>9. ציוד מגן אישי:</t>
  </si>
  <si>
    <t>נעילת נעלי בטיחות</t>
  </si>
  <si>
    <t>תקנות הבטיחות בעבודה (ציוד מגן אישי), תשנ"ז-1997 , תוספת (תקנה 3)(7.25)</t>
  </si>
  <si>
    <t>ציוד מגן אישי לעבודה בחדרי קירור</t>
  </si>
  <si>
    <t>תקנות הבטיחות בעבודה (ציוד מגן אישי), תשנ"ז-1997 , תוספת (תקנה 3)(10.2)</t>
  </si>
  <si>
    <t>הימצאות ושימוש במשקפי מגן באתר</t>
  </si>
  <si>
    <t>תקנות הבטיחות בעבודה (ציוד מגן אישי), תשנ"ז-1997 , תוספת (תקנה 3)(4)</t>
  </si>
  <si>
    <t>הימצאות ושימוש באטמי אוזניים באתר  (חדר הדחת כלים ומקומות נוספים שיש יסוד סביר להניח שעובדים בו ברעש מזיק)</t>
  </si>
  <si>
    <t>תקנות הבטיחות בעבודה (ציוד מגן אישי), תשנ"ז-1997 , תוספת (תקנה 3)(3)</t>
  </si>
  <si>
    <t>כפפות סיכוך נירוסטה לפירוק בשר, עוף דגים</t>
  </si>
  <si>
    <t>תקנות הבטיחות בעבודה (ציוד מגן אישי), תשנ"ז-1997 , תוספת (תקנה 3)(6)</t>
  </si>
  <si>
    <t>כפפות סיכוך מבד לעבודה עם סכינים לחיתוך פירות, ירקות וכו'</t>
  </si>
  <si>
    <t>כפפות מבודדי חום (תרמיות) למגע וטיפול בציוד חם</t>
  </si>
  <si>
    <t>כפפות לעבודה עם כימיקלים</t>
  </si>
  <si>
    <t>כללי: ציוד מגן אישי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</si>
</sst>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right" readingOrder="2"/>
    </xf>
    <xf numFmtId="0" fontId="1" fillId="0" borderId="6" xfId="0" applyFon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4" borderId="6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right" vertical="center" wrapText="1" readingOrder="2"/>
    </xf>
    <xf numFmtId="0" fontId="1" fillId="4" borderId="6" xfId="0" applyFont="1" applyFill="1" applyBorder="1" applyAlignment="1">
      <alignment horizontal="right" vertical="center" readingOrder="2"/>
    </xf>
    <xf numFmtId="0" fontId="1" fillId="0" borderId="6" xfId="0" applyFont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/>
    <xf numFmtId="4" fontId="4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evo.co.il/law_html/law01/159_017.htm" TargetMode="External"/><Relationship Id="rId1" Type="http://schemas.openxmlformats.org/officeDocument/2006/relationships/hyperlink" Target="https://www.nevo.co.il/law_html/law01/159_01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3E0E-431B-48C9-BDC5-E663947F224C}">
  <sheetPr>
    <tabColor rgb="FFFF0000"/>
  </sheetPr>
  <dimension ref="A1:E71"/>
  <sheetViews>
    <sheetView rightToLeft="1" tabSelected="1" zoomScale="160" zoomScaleNormal="160" workbookViewId="0">
      <pane ySplit="2" topLeftCell="A67" activePane="bottomLeft" state="frozen"/>
      <selection pane="bottomLeft" activeCell="D70" sqref="D70"/>
    </sheetView>
  </sheetViews>
  <sheetFormatPr defaultColWidth="9" defaultRowHeight="14.6" x14ac:dyDescent="0.4"/>
  <cols>
    <col min="1" max="1" width="7.23046875" style="1" customWidth="1"/>
    <col min="2" max="2" width="48.61328125" style="2" bestFit="1" customWidth="1"/>
    <col min="3" max="3" width="23.15234375" style="2" customWidth="1"/>
    <col min="4" max="4" width="7.84375" style="1" customWidth="1"/>
    <col min="5" max="5" width="20.3828125" style="2" hidden="1" customWidth="1"/>
    <col min="6" max="16384" width="9" style="2"/>
  </cols>
  <sheetData>
    <row r="1" spans="1:5" ht="15" thickBot="1" x14ac:dyDescent="0.45">
      <c r="D1" s="30">
        <f>D71</f>
        <v>100</v>
      </c>
    </row>
    <row r="2" spans="1:5" ht="31.75" x14ac:dyDescent="0.45">
      <c r="A2" s="3" t="s">
        <v>0</v>
      </c>
      <c r="B2" s="4" t="s">
        <v>1</v>
      </c>
      <c r="C2" s="4" t="s">
        <v>2</v>
      </c>
      <c r="D2" s="5" t="s">
        <v>3</v>
      </c>
      <c r="E2" s="6" t="s">
        <v>4</v>
      </c>
    </row>
    <row r="3" spans="1:5" x14ac:dyDescent="0.4">
      <c r="A3" s="7"/>
      <c r="B3" s="8" t="s">
        <v>5</v>
      </c>
      <c r="C3" s="9"/>
      <c r="D3" s="10"/>
      <c r="E3" s="11"/>
    </row>
    <row r="4" spans="1:5" ht="43.75" x14ac:dyDescent="0.4">
      <c r="A4" s="7">
        <v>1.1000000000000001</v>
      </c>
      <c r="B4" s="12" t="s">
        <v>6</v>
      </c>
      <c r="C4" s="13" t="s">
        <v>7</v>
      </c>
      <c r="D4" s="14">
        <v>2</v>
      </c>
      <c r="E4" s="11"/>
    </row>
    <row r="5" spans="1:5" ht="43.75" x14ac:dyDescent="0.4">
      <c r="A5" s="7">
        <v>1.2</v>
      </c>
      <c r="B5" s="12" t="s">
        <v>8</v>
      </c>
      <c r="C5" s="13" t="s">
        <v>9</v>
      </c>
      <c r="D5" s="14">
        <v>2</v>
      </c>
      <c r="E5" s="11"/>
    </row>
    <row r="6" spans="1:5" ht="29.15" x14ac:dyDescent="0.4">
      <c r="A6" s="7">
        <v>1.3</v>
      </c>
      <c r="B6" s="15" t="s">
        <v>10</v>
      </c>
      <c r="C6" s="12" t="s">
        <v>11</v>
      </c>
      <c r="D6" s="10">
        <v>1</v>
      </c>
      <c r="E6" s="11"/>
    </row>
    <row r="7" spans="1:5" ht="58.3" x14ac:dyDescent="0.4">
      <c r="A7" s="7">
        <v>1.4</v>
      </c>
      <c r="B7" s="13" t="s">
        <v>12</v>
      </c>
      <c r="C7" s="13" t="s">
        <v>13</v>
      </c>
      <c r="D7" s="14">
        <v>1</v>
      </c>
      <c r="E7" s="11"/>
    </row>
    <row r="8" spans="1:5" x14ac:dyDescent="0.4">
      <c r="A8" s="7">
        <v>1.5</v>
      </c>
      <c r="B8" s="16" t="s">
        <v>14</v>
      </c>
      <c r="C8" s="13"/>
      <c r="D8" s="14">
        <v>2</v>
      </c>
      <c r="E8" s="11"/>
    </row>
    <row r="9" spans="1:5" x14ac:dyDescent="0.4">
      <c r="A9" s="7"/>
      <c r="B9" s="8" t="s">
        <v>15</v>
      </c>
      <c r="C9" s="13"/>
      <c r="D9" s="10"/>
      <c r="E9" s="11"/>
    </row>
    <row r="10" spans="1:5" ht="43.75" x14ac:dyDescent="0.4">
      <c r="A10" s="17">
        <v>2.1</v>
      </c>
      <c r="B10" s="13" t="s">
        <v>16</v>
      </c>
      <c r="C10" s="13" t="s">
        <v>17</v>
      </c>
      <c r="D10" s="14">
        <v>2</v>
      </c>
      <c r="E10" s="11"/>
    </row>
    <row r="11" spans="1:5" x14ac:dyDescent="0.4">
      <c r="A11" s="17">
        <v>2.2000000000000002</v>
      </c>
      <c r="B11" s="13" t="s">
        <v>18</v>
      </c>
      <c r="C11" s="12" t="s">
        <v>11</v>
      </c>
      <c r="D11" s="10">
        <v>1</v>
      </c>
      <c r="E11" s="11"/>
    </row>
    <row r="12" spans="1:5" ht="87.45" x14ac:dyDescent="0.4">
      <c r="A12" s="17">
        <v>2.2999999999999998</v>
      </c>
      <c r="B12" s="13" t="s">
        <v>19</v>
      </c>
      <c r="C12" s="13" t="s">
        <v>20</v>
      </c>
      <c r="D12" s="10">
        <v>3</v>
      </c>
      <c r="E12" s="11"/>
    </row>
    <row r="13" spans="1:5" ht="29.15" x14ac:dyDescent="0.4">
      <c r="A13" s="17">
        <v>2.2999999999999998</v>
      </c>
      <c r="B13" s="13" t="s">
        <v>21</v>
      </c>
      <c r="C13" s="12" t="s">
        <v>11</v>
      </c>
      <c r="D13" s="10">
        <v>2</v>
      </c>
      <c r="E13" s="11"/>
    </row>
    <row r="14" spans="1:5" ht="43.75" x14ac:dyDescent="0.4">
      <c r="A14" s="17">
        <v>2.4</v>
      </c>
      <c r="B14" s="13" t="s">
        <v>22</v>
      </c>
      <c r="C14" s="13" t="s">
        <v>17</v>
      </c>
      <c r="D14" s="14">
        <v>1</v>
      </c>
      <c r="E14" s="11"/>
    </row>
    <row r="15" spans="1:5" ht="43.75" x14ac:dyDescent="0.4">
      <c r="A15" s="17">
        <v>2.4</v>
      </c>
      <c r="B15" s="13" t="s">
        <v>23</v>
      </c>
      <c r="C15" s="13" t="s">
        <v>24</v>
      </c>
      <c r="D15" s="14">
        <v>1</v>
      </c>
      <c r="E15" s="11"/>
    </row>
    <row r="16" spans="1:5" x14ac:dyDescent="0.4">
      <c r="A16" s="17">
        <v>2.5</v>
      </c>
      <c r="B16" s="13" t="s">
        <v>25</v>
      </c>
      <c r="C16" s="12" t="s">
        <v>11</v>
      </c>
      <c r="D16" s="10">
        <v>1</v>
      </c>
      <c r="E16" s="11"/>
    </row>
    <row r="17" spans="1:5" x14ac:dyDescent="0.4">
      <c r="A17" s="17">
        <v>2.6</v>
      </c>
      <c r="B17" s="13" t="s">
        <v>26</v>
      </c>
      <c r="C17" s="12" t="s">
        <v>11</v>
      </c>
      <c r="D17" s="10">
        <v>1</v>
      </c>
      <c r="E17" s="11"/>
    </row>
    <row r="18" spans="1:5" ht="29.15" x14ac:dyDescent="0.4">
      <c r="A18" s="17">
        <v>2.7</v>
      </c>
      <c r="B18" s="13" t="s">
        <v>27</v>
      </c>
      <c r="C18" s="13" t="s">
        <v>11</v>
      </c>
      <c r="D18" s="10">
        <v>1</v>
      </c>
      <c r="E18" s="11"/>
    </row>
    <row r="19" spans="1:5" x14ac:dyDescent="0.4">
      <c r="A19" s="17">
        <v>2.8</v>
      </c>
      <c r="B19" s="16" t="s">
        <v>28</v>
      </c>
      <c r="C19" s="13"/>
      <c r="D19" s="10">
        <v>3</v>
      </c>
      <c r="E19" s="11"/>
    </row>
    <row r="20" spans="1:5" x14ac:dyDescent="0.4">
      <c r="A20" s="7"/>
      <c r="B20" s="8" t="s">
        <v>29</v>
      </c>
      <c r="C20" s="13"/>
      <c r="D20" s="10"/>
      <c r="E20" s="11"/>
    </row>
    <row r="21" spans="1:5" ht="29.15" x14ac:dyDescent="0.4">
      <c r="A21" s="17">
        <v>3.1</v>
      </c>
      <c r="B21" s="13" t="s">
        <v>30</v>
      </c>
      <c r="C21" s="13" t="s">
        <v>31</v>
      </c>
      <c r="D21" s="10">
        <v>1</v>
      </c>
      <c r="E21" s="11"/>
    </row>
    <row r="22" spans="1:5" ht="58.3" x14ac:dyDescent="0.4">
      <c r="A22" s="17">
        <v>3.2</v>
      </c>
      <c r="B22" s="13" t="s">
        <v>32</v>
      </c>
      <c r="C22" s="13" t="s">
        <v>33</v>
      </c>
      <c r="D22" s="10">
        <v>1</v>
      </c>
      <c r="E22" s="11"/>
    </row>
    <row r="23" spans="1:5" x14ac:dyDescent="0.4">
      <c r="A23" s="17">
        <v>3.3</v>
      </c>
      <c r="B23" s="13" t="s">
        <v>34</v>
      </c>
      <c r="C23" s="13" t="s">
        <v>35</v>
      </c>
      <c r="D23" s="10">
        <v>1</v>
      </c>
      <c r="E23" s="11"/>
    </row>
    <row r="24" spans="1:5" x14ac:dyDescent="0.4">
      <c r="A24" s="17">
        <v>3.4</v>
      </c>
      <c r="B24" s="13" t="s">
        <v>36</v>
      </c>
      <c r="C24" s="13" t="s">
        <v>37</v>
      </c>
      <c r="D24" s="10">
        <v>1</v>
      </c>
      <c r="E24" s="11"/>
    </row>
    <row r="25" spans="1:5" ht="58.3" x14ac:dyDescent="0.4">
      <c r="A25" s="17">
        <v>3.5</v>
      </c>
      <c r="B25" s="13" t="s">
        <v>38</v>
      </c>
      <c r="C25" s="13" t="s">
        <v>39</v>
      </c>
      <c r="D25" s="10">
        <v>2</v>
      </c>
      <c r="E25" s="11"/>
    </row>
    <row r="26" spans="1:5" ht="58.3" x14ac:dyDescent="0.4">
      <c r="A26" s="17">
        <v>3.6</v>
      </c>
      <c r="B26" s="13" t="s">
        <v>40</v>
      </c>
      <c r="C26" s="13" t="s">
        <v>41</v>
      </c>
      <c r="D26" s="10">
        <v>2</v>
      </c>
      <c r="E26" s="11"/>
    </row>
    <row r="27" spans="1:5" x14ac:dyDescent="0.4">
      <c r="A27" s="17">
        <v>3.7</v>
      </c>
      <c r="B27" s="16" t="s">
        <v>42</v>
      </c>
      <c r="C27" s="13"/>
      <c r="D27" s="10">
        <v>3</v>
      </c>
      <c r="E27" s="11"/>
    </row>
    <row r="28" spans="1:5" ht="15.9" x14ac:dyDescent="0.4">
      <c r="A28" s="7"/>
      <c r="B28" s="8" t="s">
        <v>43</v>
      </c>
      <c r="C28" s="18"/>
      <c r="D28" s="10"/>
      <c r="E28" s="11"/>
    </row>
    <row r="29" spans="1:5" ht="58.3" x14ac:dyDescent="0.4">
      <c r="A29" s="17">
        <v>4.0999999999999996</v>
      </c>
      <c r="B29" s="12" t="s">
        <v>44</v>
      </c>
      <c r="C29" s="13" t="s">
        <v>45</v>
      </c>
      <c r="D29" s="14">
        <v>1</v>
      </c>
      <c r="E29" s="11"/>
    </row>
    <row r="30" spans="1:5" ht="43.75" x14ac:dyDescent="0.4">
      <c r="A30" s="17">
        <v>4.2</v>
      </c>
      <c r="B30" s="13" t="s">
        <v>46</v>
      </c>
      <c r="C30" s="13" t="s">
        <v>47</v>
      </c>
      <c r="D30" s="14">
        <v>1</v>
      </c>
      <c r="E30" s="11"/>
    </row>
    <row r="31" spans="1:5" ht="43.75" x14ac:dyDescent="0.4">
      <c r="A31" s="17">
        <v>4.3</v>
      </c>
      <c r="B31" s="12" t="s">
        <v>48</v>
      </c>
      <c r="C31" s="13" t="s">
        <v>49</v>
      </c>
      <c r="D31" s="14">
        <v>2</v>
      </c>
      <c r="E31" s="11"/>
    </row>
    <row r="32" spans="1:5" ht="43.75" x14ac:dyDescent="0.4">
      <c r="A32" s="17">
        <v>4.4000000000000004</v>
      </c>
      <c r="B32" s="12" t="s">
        <v>50</v>
      </c>
      <c r="C32" s="13" t="s">
        <v>51</v>
      </c>
      <c r="D32" s="10">
        <v>2</v>
      </c>
      <c r="E32" s="11"/>
    </row>
    <row r="33" spans="1:5" ht="58.3" x14ac:dyDescent="0.4">
      <c r="A33" s="17">
        <v>4.5</v>
      </c>
      <c r="B33" s="12" t="s">
        <v>52</v>
      </c>
      <c r="C33" s="13" t="s">
        <v>53</v>
      </c>
      <c r="D33" s="10">
        <v>2</v>
      </c>
      <c r="E33" s="11"/>
    </row>
    <row r="34" spans="1:5" ht="43.75" x14ac:dyDescent="0.4">
      <c r="A34" s="17">
        <v>4.5999999999999996</v>
      </c>
      <c r="B34" s="12" t="s">
        <v>54</v>
      </c>
      <c r="C34" s="13" t="s">
        <v>55</v>
      </c>
      <c r="D34" s="10">
        <v>2</v>
      </c>
      <c r="E34" s="11"/>
    </row>
    <row r="35" spans="1:5" ht="29.15" x14ac:dyDescent="0.4">
      <c r="A35" s="17">
        <v>4.7</v>
      </c>
      <c r="B35" s="12" t="s">
        <v>56</v>
      </c>
      <c r="C35" s="13" t="s">
        <v>57</v>
      </c>
      <c r="D35" s="10">
        <v>1</v>
      </c>
      <c r="E35" s="11"/>
    </row>
    <row r="36" spans="1:5" ht="29.15" x14ac:dyDescent="0.4">
      <c r="A36" s="17">
        <v>4.8</v>
      </c>
      <c r="B36" s="12" t="s">
        <v>58</v>
      </c>
      <c r="C36" s="13" t="s">
        <v>59</v>
      </c>
      <c r="D36" s="10">
        <v>1</v>
      </c>
      <c r="E36" s="11"/>
    </row>
    <row r="37" spans="1:5" x14ac:dyDescent="0.4">
      <c r="A37" s="17">
        <v>4.9000000000000004</v>
      </c>
      <c r="B37" s="19" t="s">
        <v>60</v>
      </c>
      <c r="C37" s="13"/>
      <c r="D37" s="10">
        <v>4</v>
      </c>
      <c r="E37" s="11"/>
    </row>
    <row r="38" spans="1:5" x14ac:dyDescent="0.4">
      <c r="A38" s="7"/>
      <c r="B38" s="8" t="s">
        <v>61</v>
      </c>
      <c r="C38" s="12"/>
      <c r="D38" s="10"/>
      <c r="E38" s="11"/>
    </row>
    <row r="39" spans="1:5" x14ac:dyDescent="0.4">
      <c r="A39" s="17">
        <v>5.0999999999999996</v>
      </c>
      <c r="B39" s="12" t="s">
        <v>62</v>
      </c>
      <c r="C39" s="9" t="s">
        <v>63</v>
      </c>
      <c r="D39" s="10">
        <v>1</v>
      </c>
      <c r="E39" s="11"/>
    </row>
    <row r="40" spans="1:5" x14ac:dyDescent="0.4">
      <c r="A40" s="17">
        <v>5.2</v>
      </c>
      <c r="B40" s="12" t="s">
        <v>64</v>
      </c>
      <c r="C40" s="12" t="s">
        <v>11</v>
      </c>
      <c r="D40" s="10">
        <v>1</v>
      </c>
      <c r="E40" s="11"/>
    </row>
    <row r="41" spans="1:5" ht="29.15" x14ac:dyDescent="0.4">
      <c r="A41" s="17">
        <v>5.3</v>
      </c>
      <c r="B41" s="13" t="s">
        <v>65</v>
      </c>
      <c r="C41" s="12" t="s">
        <v>11</v>
      </c>
      <c r="D41" s="10">
        <v>1</v>
      </c>
      <c r="E41" s="11"/>
    </row>
    <row r="42" spans="1:5" x14ac:dyDescent="0.4">
      <c r="A42" s="17">
        <v>5.4</v>
      </c>
      <c r="B42" s="16" t="s">
        <v>66</v>
      </c>
      <c r="C42" s="12"/>
      <c r="D42" s="10">
        <v>1</v>
      </c>
      <c r="E42" s="11"/>
    </row>
    <row r="43" spans="1:5" x14ac:dyDescent="0.4">
      <c r="A43" s="7"/>
      <c r="B43" s="8" t="s">
        <v>67</v>
      </c>
      <c r="C43" s="12"/>
      <c r="D43" s="10"/>
      <c r="E43" s="11"/>
    </row>
    <row r="44" spans="1:5" x14ac:dyDescent="0.4">
      <c r="A44" s="17">
        <v>6.1</v>
      </c>
      <c r="B44" s="13" t="s">
        <v>68</v>
      </c>
      <c r="C44" s="12" t="s">
        <v>69</v>
      </c>
      <c r="D44" s="10">
        <v>2</v>
      </c>
      <c r="E44" s="11"/>
    </row>
    <row r="45" spans="1:5" x14ac:dyDescent="0.4">
      <c r="A45" s="17">
        <v>6.2</v>
      </c>
      <c r="B45" s="13" t="s">
        <v>70</v>
      </c>
      <c r="C45" s="12" t="s">
        <v>71</v>
      </c>
      <c r="D45" s="10">
        <v>1</v>
      </c>
      <c r="E45" s="11"/>
    </row>
    <row r="46" spans="1:5" ht="29.15" x14ac:dyDescent="0.4">
      <c r="A46" s="17">
        <v>6.3</v>
      </c>
      <c r="B46" s="13" t="s">
        <v>72</v>
      </c>
      <c r="C46" s="12" t="s">
        <v>71</v>
      </c>
      <c r="D46" s="10">
        <v>1</v>
      </c>
      <c r="E46" s="11"/>
    </row>
    <row r="47" spans="1:5" x14ac:dyDescent="0.4">
      <c r="A47" s="17">
        <v>6.4</v>
      </c>
      <c r="B47" s="13" t="s">
        <v>73</v>
      </c>
      <c r="C47" s="12"/>
      <c r="D47" s="10">
        <v>3</v>
      </c>
      <c r="E47" s="11"/>
    </row>
    <row r="48" spans="1:5" x14ac:dyDescent="0.4">
      <c r="A48" s="7"/>
      <c r="B48" s="8" t="s">
        <v>74</v>
      </c>
      <c r="C48" s="12"/>
      <c r="D48" s="10"/>
      <c r="E48" s="11"/>
    </row>
    <row r="49" spans="1:5" ht="29.15" x14ac:dyDescent="0.4">
      <c r="A49" s="17">
        <v>7.1</v>
      </c>
      <c r="B49" s="12" t="s">
        <v>75</v>
      </c>
      <c r="C49" s="13" t="s">
        <v>76</v>
      </c>
      <c r="D49" s="10">
        <v>1</v>
      </c>
      <c r="E49" s="11"/>
    </row>
    <row r="50" spans="1:5" ht="58.3" x14ac:dyDescent="0.4">
      <c r="A50" s="17">
        <v>7.2</v>
      </c>
      <c r="B50" s="20" t="s">
        <v>77</v>
      </c>
      <c r="C50" s="13" t="s">
        <v>78</v>
      </c>
      <c r="D50" s="14">
        <v>2</v>
      </c>
      <c r="E50" s="11"/>
    </row>
    <row r="51" spans="1:5" ht="58.3" x14ac:dyDescent="0.4">
      <c r="A51" s="17">
        <v>7.3</v>
      </c>
      <c r="B51" s="13" t="s">
        <v>79</v>
      </c>
      <c r="C51" s="13" t="s">
        <v>80</v>
      </c>
      <c r="D51" s="14">
        <v>2</v>
      </c>
      <c r="E51" s="11"/>
    </row>
    <row r="52" spans="1:5" ht="43.75" x14ac:dyDescent="0.4">
      <c r="A52" s="17">
        <v>7.4</v>
      </c>
      <c r="B52" s="12" t="s">
        <v>81</v>
      </c>
      <c r="C52" s="13" t="s">
        <v>82</v>
      </c>
      <c r="D52" s="14">
        <v>2</v>
      </c>
      <c r="E52" s="11"/>
    </row>
    <row r="53" spans="1:5" x14ac:dyDescent="0.4">
      <c r="A53" s="17">
        <v>7.5</v>
      </c>
      <c r="B53" s="21" t="s">
        <v>83</v>
      </c>
      <c r="C53" s="13"/>
      <c r="D53" s="14">
        <v>3</v>
      </c>
      <c r="E53" s="11"/>
    </row>
    <row r="54" spans="1:5" x14ac:dyDescent="0.4">
      <c r="A54" s="17"/>
      <c r="B54" s="8" t="s">
        <v>84</v>
      </c>
      <c r="C54" s="13"/>
      <c r="D54" s="14"/>
      <c r="E54" s="11"/>
    </row>
    <row r="55" spans="1:5" x14ac:dyDescent="0.4">
      <c r="A55" s="17">
        <v>8.1</v>
      </c>
      <c r="B55" s="12" t="s">
        <v>85</v>
      </c>
      <c r="C55" s="13" t="s">
        <v>86</v>
      </c>
      <c r="D55" s="14">
        <v>1.5</v>
      </c>
      <c r="E55" s="11"/>
    </row>
    <row r="56" spans="1:5" x14ac:dyDescent="0.4">
      <c r="A56" s="17">
        <v>8.1999999999999993</v>
      </c>
      <c r="B56" s="12" t="s">
        <v>87</v>
      </c>
      <c r="C56" s="12" t="s">
        <v>11</v>
      </c>
      <c r="D56" s="14">
        <v>1.5</v>
      </c>
      <c r="E56" s="11"/>
    </row>
    <row r="57" spans="1:5" x14ac:dyDescent="0.4">
      <c r="A57" s="17">
        <v>8.3000000000000007</v>
      </c>
      <c r="B57" s="12" t="s">
        <v>88</v>
      </c>
      <c r="C57" s="12" t="s">
        <v>11</v>
      </c>
      <c r="D57" s="14">
        <v>2</v>
      </c>
      <c r="E57" s="11"/>
    </row>
    <row r="58" spans="1:5" x14ac:dyDescent="0.4">
      <c r="A58" s="17">
        <v>8.4</v>
      </c>
      <c r="B58" s="13" t="s">
        <v>89</v>
      </c>
      <c r="C58" s="12" t="s">
        <v>11</v>
      </c>
      <c r="D58" s="10">
        <v>1</v>
      </c>
      <c r="E58" s="11"/>
    </row>
    <row r="59" spans="1:5" x14ac:dyDescent="0.4">
      <c r="A59" s="17">
        <v>8.5</v>
      </c>
      <c r="B59" s="21" t="s">
        <v>90</v>
      </c>
      <c r="C59" s="13"/>
      <c r="D59" s="14">
        <v>2</v>
      </c>
      <c r="E59" s="11"/>
    </row>
    <row r="60" spans="1:5" x14ac:dyDescent="0.4">
      <c r="A60" s="7"/>
      <c r="B60" s="8" t="s">
        <v>91</v>
      </c>
      <c r="C60" s="12"/>
      <c r="D60" s="10"/>
      <c r="E60" s="11"/>
    </row>
    <row r="61" spans="1:5" ht="43.75" x14ac:dyDescent="0.4">
      <c r="A61" s="17">
        <v>9.1</v>
      </c>
      <c r="B61" s="12" t="s">
        <v>92</v>
      </c>
      <c r="C61" s="13" t="s">
        <v>93</v>
      </c>
      <c r="D61" s="10">
        <v>3</v>
      </c>
      <c r="E61" s="11"/>
    </row>
    <row r="62" spans="1:5" ht="43.75" x14ac:dyDescent="0.4">
      <c r="A62" s="17">
        <v>9.1999999999999993</v>
      </c>
      <c r="B62" s="20" t="s">
        <v>94</v>
      </c>
      <c r="C62" s="13" t="s">
        <v>95</v>
      </c>
      <c r="D62" s="10">
        <v>2</v>
      </c>
      <c r="E62" s="11"/>
    </row>
    <row r="63" spans="1:5" ht="43.75" x14ac:dyDescent="0.4">
      <c r="A63" s="17">
        <v>9.3000000000000007</v>
      </c>
      <c r="B63" s="20" t="s">
        <v>96</v>
      </c>
      <c r="C63" s="13" t="s">
        <v>97</v>
      </c>
      <c r="D63" s="10">
        <v>3</v>
      </c>
      <c r="E63" s="11"/>
    </row>
    <row r="64" spans="1:5" ht="43.75" x14ac:dyDescent="0.4">
      <c r="A64" s="17">
        <v>9.4</v>
      </c>
      <c r="B64" s="22" t="s">
        <v>98</v>
      </c>
      <c r="C64" s="13" t="s">
        <v>99</v>
      </c>
      <c r="D64" s="10">
        <v>1</v>
      </c>
      <c r="E64" s="11"/>
    </row>
    <row r="65" spans="1:5" ht="43.75" x14ac:dyDescent="0.4">
      <c r="A65" s="17">
        <v>9.5</v>
      </c>
      <c r="B65" s="20" t="s">
        <v>100</v>
      </c>
      <c r="C65" s="13" t="s">
        <v>101</v>
      </c>
      <c r="D65" s="10">
        <v>2</v>
      </c>
      <c r="E65" s="11"/>
    </row>
    <row r="66" spans="1:5" ht="43.75" x14ac:dyDescent="0.4">
      <c r="A66" s="17">
        <v>9.6</v>
      </c>
      <c r="B66" s="20" t="s">
        <v>102</v>
      </c>
      <c r="C66" s="13" t="s">
        <v>101</v>
      </c>
      <c r="D66" s="10">
        <v>2</v>
      </c>
      <c r="E66" s="11"/>
    </row>
    <row r="67" spans="1:5" ht="43.75" x14ac:dyDescent="0.4">
      <c r="A67" s="17">
        <v>9.6999999999999993</v>
      </c>
      <c r="B67" s="20" t="s">
        <v>103</v>
      </c>
      <c r="C67" s="13" t="s">
        <v>101</v>
      </c>
      <c r="D67" s="10">
        <v>2</v>
      </c>
      <c r="E67" s="11"/>
    </row>
    <row r="68" spans="1:5" ht="43.75" x14ac:dyDescent="0.4">
      <c r="A68" s="17">
        <v>9.8000000000000007</v>
      </c>
      <c r="B68" s="20" t="s">
        <v>104</v>
      </c>
      <c r="C68" s="13" t="s">
        <v>101</v>
      </c>
      <c r="D68" s="10">
        <v>2</v>
      </c>
      <c r="E68" s="23"/>
    </row>
    <row r="69" spans="1:5" ht="15" thickBot="1" x14ac:dyDescent="0.45">
      <c r="A69" s="24">
        <v>9.9</v>
      </c>
      <c r="B69" s="25" t="s">
        <v>105</v>
      </c>
      <c r="C69" s="26"/>
      <c r="D69" s="27">
        <v>3</v>
      </c>
      <c r="E69" s="28"/>
    </row>
    <row r="71" spans="1:5" x14ac:dyDescent="0.4">
      <c r="D71" s="29">
        <f>SUM(D3:D69)</f>
        <v>100</v>
      </c>
    </row>
  </sheetData>
  <autoFilter ref="A2:E69" xr:uid="{93AABD72-B329-4D82-B7F8-A2467A5FAF38}"/>
  <hyperlinks>
    <hyperlink ref="C22" r:id="rId1" location="_ftn1" display="https://www.nevo.co.il/law_html/law01/159_017.htm - _ftn1" xr:uid="{9ADC1527-8418-4DD9-A2BC-8E128B3ACD0E}"/>
    <hyperlink ref="C26" r:id="rId2" location="_ftn1" display="https://www.nevo.co.il/law_html/law01/159_017.htm - _ftn1" xr:uid="{FCC58EDE-4290-4D81-932C-32FC3FDE5E26}"/>
  </hyperlinks>
  <printOptions horizontalCentered="1" verticalCentered="1"/>
  <pageMargins left="0.59055118110236227" right="0.51181102362204722" top="0.74803149606299213" bottom="0.74803149606299213" header="0.31496062992125984" footer="0.31496062992125984"/>
  <pageSetup paperSize="9" scale="85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חוברת עבודה 2026 - אודי </vt:lpstr>
      <vt:lpstr>'חוברת עבודה 2026 - אודי '!_ftnref1</vt:lpstr>
      <vt:lpstr>'חוברת עבודה 2026 - אודי '!WPrint_Area_W</vt:lpstr>
      <vt:lpstr>'חוברת עבודה 2026 - אודי 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Faingold Alexander</dc:creator>
  <cp:lastModifiedBy>Benshimol Udi</cp:lastModifiedBy>
  <dcterms:created xsi:type="dcterms:W3CDTF">2026-03-22T09:54:11Z</dcterms:created>
  <dcterms:modified xsi:type="dcterms:W3CDTF">2026-03-24T00:06:47Z</dcterms:modified>
</cp:coreProperties>
</file>